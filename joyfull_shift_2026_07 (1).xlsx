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シフト案" sheetId="1" r:id="rId1"/>
  </sheets>
  <calcPr calcId="124519" fullCalcOnLoad="1"/>
</workbook>
</file>

<file path=xl/sharedStrings.xml><?xml version="1.0" encoding="utf-8"?>
<sst xmlns="http://schemas.openxmlformats.org/spreadsheetml/2006/main" count="720" uniqueCount="73">
  <si>
    <t>グループ</t>
  </si>
  <si>
    <t>1(水)</t>
  </si>
  <si>
    <t>2(木)</t>
  </si>
  <si>
    <t>3(金)</t>
  </si>
  <si>
    <t>4(土)</t>
  </si>
  <si>
    <t>5(日)</t>
  </si>
  <si>
    <t>6(月)</t>
  </si>
  <si>
    <t>7(火)</t>
  </si>
  <si>
    <t>8(水)</t>
  </si>
  <si>
    <t>9(木)</t>
  </si>
  <si>
    <t>10(金)</t>
  </si>
  <si>
    <t>11(土)</t>
  </si>
  <si>
    <t>12(日)</t>
  </si>
  <si>
    <t>13(月)</t>
  </si>
  <si>
    <t>14(火)</t>
  </si>
  <si>
    <t>15(水)</t>
  </si>
  <si>
    <t>16(木)</t>
  </si>
  <si>
    <t>17(金)</t>
  </si>
  <si>
    <t>18(土)</t>
  </si>
  <si>
    <t>19(日)</t>
  </si>
  <si>
    <t>20(月)</t>
  </si>
  <si>
    <t>21(火)</t>
  </si>
  <si>
    <t>22(水)</t>
  </si>
  <si>
    <t>23(木)</t>
  </si>
  <si>
    <t>24(金)</t>
  </si>
  <si>
    <t>25(土)</t>
  </si>
  <si>
    <t>26(日)</t>
  </si>
  <si>
    <t>27(月)</t>
  </si>
  <si>
    <t>28(火)</t>
  </si>
  <si>
    <t>29(水)</t>
  </si>
  <si>
    <t>30(木)</t>
  </si>
  <si>
    <t>31(金)</t>
  </si>
  <si>
    <t>多田（店長）</t>
  </si>
  <si>
    <t>河野</t>
  </si>
  <si>
    <t>末益</t>
  </si>
  <si>
    <t>扇</t>
  </si>
  <si>
    <t>高木</t>
  </si>
  <si>
    <t>笹谷</t>
  </si>
  <si>
    <t>西村</t>
  </si>
  <si>
    <t>武久</t>
  </si>
  <si>
    <t>永田</t>
  </si>
  <si>
    <t>宝村</t>
  </si>
  <si>
    <t>竹浦</t>
  </si>
  <si>
    <t>宮川</t>
  </si>
  <si>
    <t>キサン</t>
  </si>
  <si>
    <t>太田</t>
  </si>
  <si>
    <t>小田川</t>
  </si>
  <si>
    <t>内田</t>
  </si>
  <si>
    <t>十河</t>
  </si>
  <si>
    <t>井上</t>
  </si>
  <si>
    <t>八田</t>
  </si>
  <si>
    <t>西田</t>
  </si>
  <si>
    <t>清水</t>
  </si>
  <si>
    <t>松村</t>
  </si>
  <si>
    <t>渡部</t>
  </si>
  <si>
    <t>妹背</t>
  </si>
  <si>
    <t>W</t>
  </si>
  <si>
    <t>HD</t>
  </si>
  <si>
    <t>HN</t>
  </si>
  <si>
    <t>KN</t>
  </si>
  <si>
    <t>KD</t>
  </si>
  <si>
    <t>10:00-15:00</t>
  </si>
  <si>
    <t>✖</t>
  </si>
  <si>
    <t>18:00-23:00</t>
  </si>
  <si>
    <t>18:00-22:00</t>
  </si>
  <si>
    <t>19:00-23:00</t>
  </si>
  <si>
    <t>18:00-22:30</t>
  </si>
  <si>
    <t>10:00-18:00</t>
  </si>
  <si>
    <t>18:30-23:00</t>
  </si>
  <si>
    <t>合計実働</t>
  </si>
  <si>
    <t>休憩合計</t>
  </si>
  <si>
    <t>欠員状況</t>
  </si>
  <si>
    <t>今月の合計欠員数: 0名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</si>
</sst>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2" width="20.7109375" style="2" customWidth="1"/>
    <col min="3" max="33" width="12.7109375" style="1" customWidth="1"/>
    <col min="34" max="35" width="12.7109375" style="3" customWidth="1"/>
    <col min="36" max="36" width="35.7109375" customWidth="1"/>
  </cols>
  <sheetData>
    <row r="1" spans="1:36">
      <c r="B1" s="4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7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7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7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6" t="s">
        <v>25</v>
      </c>
      <c r="AB1" s="7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69</v>
      </c>
      <c r="AI1" s="5" t="s">
        <v>70</v>
      </c>
      <c r="AJ1" s="5" t="s">
        <v>71</v>
      </c>
    </row>
    <row r="2" spans="1:36">
      <c r="A2" s="4" t="s">
        <v>32</v>
      </c>
      <c r="B2" s="2" t="s">
        <v>56</v>
      </c>
      <c r="D2" s="1" t="s">
        <v>61</v>
      </c>
      <c r="E2" s="1" t="s">
        <v>68</v>
      </c>
      <c r="G2" s="1" t="s">
        <v>67</v>
      </c>
      <c r="H2" s="1" t="s">
        <v>67</v>
      </c>
      <c r="I2" s="1" t="s">
        <v>61</v>
      </c>
      <c r="K2" s="1" t="s">
        <v>61</v>
      </c>
      <c r="L2" s="1" t="s">
        <v>61</v>
      </c>
      <c r="M2" s="1" t="s">
        <v>64</v>
      </c>
      <c r="N2" s="1" t="s">
        <v>67</v>
      </c>
      <c r="P2" s="1" t="s">
        <v>61</v>
      </c>
      <c r="Q2" s="1" t="s">
        <v>61</v>
      </c>
      <c r="R2" s="1" t="s">
        <v>61</v>
      </c>
      <c r="S2" s="1" t="s">
        <v>64</v>
      </c>
      <c r="U2" s="1" t="s">
        <v>67</v>
      </c>
      <c r="V2" s="1" t="s">
        <v>61</v>
      </c>
      <c r="W2" s="1" t="s">
        <v>61</v>
      </c>
      <c r="Y2" s="1" t="s">
        <v>61</v>
      </c>
      <c r="Z2" s="1" t="s">
        <v>61</v>
      </c>
      <c r="AA2" s="1" t="s">
        <v>67</v>
      </c>
      <c r="AB2" s="1" t="s">
        <v>67</v>
      </c>
      <c r="AC2" s="1" t="s">
        <v>61</v>
      </c>
      <c r="AE2" s="1" t="s">
        <v>61</v>
      </c>
      <c r="AF2" s="1" t="s">
        <v>61</v>
      </c>
      <c r="AG2" s="1" t="s">
        <v>67</v>
      </c>
      <c r="AH2" s="3">
        <f t="array" ref="AH2">SUM(IFERROR(((TIMEVALUE(MID(C2:AG2,FIND("-",C2:AG2)+1,10))-TIMEVALUE(LEFT(C2:AG2,FIND("-",C2:AG2)-1)))*24) - IF((TIMEVALUE(MID(C2:AG2,FIND("-",C2:AG2)+1,10))-TIMEVALUE(LEFT(C2:AG2,FIND("-",C2:AG2)-1)))*24&gt;8, 1, IF((TIMEVALUE(MID(C2:AG2,FIND("-",C2:AG2)+1,10))-TIMEVALUE(LEFT(C2:AG2,FIND("-",C2:AG2)-1)))*24&gt;6, 0.75, 0)), 0))</f>
        <v>0</v>
      </c>
      <c r="AI2" s="3">
        <f t="array" ref="AI2">SUM(IFERROR(IF((TIMEVALUE(MID(C2:AG2,FIND("-",C2:AG2)+1,10))-TIMEVALUE(LEFT(C2:AG2,FIND("-",C2:AG2)-1)))*24&gt;8, 1, IF((TIMEVALUE(MID(C2:AG2,FIND("-",C2:AG2)+1,10))-TIMEVALUE(LEFT(C2:AG2,FIND("-",C2:AG2)-1)))*24&gt;6, 0.75, 0)), 0))</f>
        <v>0</v>
      </c>
      <c r="AJ2" s="8" t="s">
        <v>72</v>
      </c>
    </row>
    <row r="3" spans="1:36">
      <c r="A3" s="4" t="s">
        <v>33</v>
      </c>
      <c r="B3" s="2" t="s">
        <v>56</v>
      </c>
      <c r="C3" s="1" t="s">
        <v>61</v>
      </c>
      <c r="E3" s="1" t="s">
        <v>61</v>
      </c>
      <c r="F3" s="1" t="s">
        <v>67</v>
      </c>
      <c r="G3" s="1" t="s">
        <v>61</v>
      </c>
      <c r="H3" s="1" t="s">
        <v>61</v>
      </c>
      <c r="J3" s="1" t="s">
        <v>61</v>
      </c>
      <c r="K3" s="1" t="s">
        <v>61</v>
      </c>
      <c r="L3" s="1" t="s">
        <v>67</v>
      </c>
      <c r="N3" s="1" t="s">
        <v>61</v>
      </c>
      <c r="O3" s="1" t="s">
        <v>61</v>
      </c>
      <c r="Q3" s="1" t="s">
        <v>61</v>
      </c>
      <c r="R3" s="1" t="s">
        <v>61</v>
      </c>
      <c r="S3" s="1" t="s">
        <v>67</v>
      </c>
      <c r="U3" s="1" t="s">
        <v>61</v>
      </c>
      <c r="W3" s="1" t="s">
        <v>67</v>
      </c>
      <c r="X3" s="1" t="s">
        <v>61</v>
      </c>
      <c r="Y3" s="1" t="s">
        <v>61</v>
      </c>
      <c r="Z3" s="1" t="s">
        <v>67</v>
      </c>
      <c r="AA3" s="1" t="s">
        <v>61</v>
      </c>
      <c r="AB3" s="1" t="s">
        <v>62</v>
      </c>
      <c r="AC3" s="1" t="s">
        <v>67</v>
      </c>
      <c r="AD3" s="1" t="s">
        <v>61</v>
      </c>
      <c r="AF3" s="1" t="s">
        <v>61</v>
      </c>
      <c r="AG3" s="1" t="s">
        <v>62</v>
      </c>
      <c r="AH3" s="3">
        <f t="array" ref="AH3">SUM(IFERROR(((TIMEVALUE(MID(C3:AG3,FIND("-",C3:AG3)+1,10))-TIMEVALUE(LEFT(C3:AG3,FIND("-",C3:AG3)-1)))*24) - IF((TIMEVALUE(MID(C3:AG3,FIND("-",C3:AG3)+1,10))-TIMEVALUE(LEFT(C3:AG3,FIND("-",C3:AG3)-1)))*24&gt;8, 1, IF((TIMEVALUE(MID(C3:AG3,FIND("-",C3:AG3)+1,10))-TIMEVALUE(LEFT(C3:AG3,FIND("-",C3:AG3)-1)))*24&gt;6, 0.75, 0)), 0))</f>
        <v>0</v>
      </c>
      <c r="AI3" s="3">
        <f t="array" ref="AI3">SUM(IFERROR(IF((TIMEVALUE(MID(C3:AG3,FIND("-",C3:AG3)+1,10))-TIMEVALUE(LEFT(C3:AG3,FIND("-",C3:AG3)-1)))*24&gt;8, 1, IF((TIMEVALUE(MID(C3:AG3,FIND("-",C3:AG3)+1,10))-TIMEVALUE(LEFT(C3:AG3,FIND("-",C3:AG3)-1)))*24&gt;6, 0.75, 0)), 0))</f>
        <v>0</v>
      </c>
    </row>
    <row r="4" spans="1:36">
      <c r="A4" s="4" t="s">
        <v>34</v>
      </c>
      <c r="B4" s="2" t="s">
        <v>57</v>
      </c>
      <c r="C4" s="1" t="s">
        <v>62</v>
      </c>
      <c r="D4" s="1" t="s">
        <v>67</v>
      </c>
      <c r="E4" s="1" t="s">
        <v>67</v>
      </c>
      <c r="F4" s="1" t="s">
        <v>67</v>
      </c>
      <c r="G4" s="1" t="s">
        <v>67</v>
      </c>
      <c r="I4" s="1" t="s">
        <v>67</v>
      </c>
      <c r="J4" s="1" t="s">
        <v>62</v>
      </c>
      <c r="K4" s="1" t="s">
        <v>67</v>
      </c>
      <c r="L4" s="1" t="s">
        <v>67</v>
      </c>
      <c r="M4" s="1" t="s">
        <v>67</v>
      </c>
      <c r="N4" s="1" t="s">
        <v>62</v>
      </c>
      <c r="O4" s="1" t="s">
        <v>61</v>
      </c>
      <c r="P4" s="1" t="s">
        <v>67</v>
      </c>
      <c r="Q4" s="1" t="s">
        <v>62</v>
      </c>
      <c r="R4" s="1" t="s">
        <v>67</v>
      </c>
      <c r="S4" s="1" t="s">
        <v>61</v>
      </c>
      <c r="T4" s="1" t="s">
        <v>67</v>
      </c>
      <c r="V4" s="1" t="s">
        <v>67</v>
      </c>
      <c r="X4" s="1" t="s">
        <v>62</v>
      </c>
      <c r="Y4" s="1" t="s">
        <v>67</v>
      </c>
      <c r="Z4" s="1" t="s">
        <v>67</v>
      </c>
      <c r="AA4" s="1" t="s">
        <v>67</v>
      </c>
      <c r="AB4" s="1" t="s">
        <v>61</v>
      </c>
      <c r="AC4" s="1" t="s">
        <v>62</v>
      </c>
      <c r="AD4" s="1" t="s">
        <v>67</v>
      </c>
      <c r="AE4" s="1" t="s">
        <v>62</v>
      </c>
      <c r="AF4" s="1" t="s">
        <v>67</v>
      </c>
      <c r="AG4" s="1" t="s">
        <v>61</v>
      </c>
      <c r="AH4" s="3">
        <f t="array" ref="AH4">SUM(IFERROR(((TIMEVALUE(MID(C4:AG4,FIND("-",C4:AG4)+1,10))-TIMEVALUE(LEFT(C4:AG4,FIND("-",C4:AG4)-1)))*24) - IF((TIMEVALUE(MID(C4:AG4,FIND("-",C4:AG4)+1,10))-TIMEVALUE(LEFT(C4:AG4,FIND("-",C4:AG4)-1)))*24&gt;8, 1, IF((TIMEVALUE(MID(C4:AG4,FIND("-",C4:AG4)+1,10))-TIMEVALUE(LEFT(C4:AG4,FIND("-",C4:AG4)-1)))*24&gt;6, 0.75, 0)), 0))</f>
        <v>0</v>
      </c>
      <c r="AI4" s="3">
        <f t="array" ref="AI4">SUM(IFERROR(IF((TIMEVALUE(MID(C4:AG4,FIND("-",C4:AG4)+1,10))-TIMEVALUE(LEFT(C4:AG4,FIND("-",C4:AG4)-1)))*24&gt;8, 1, IF((TIMEVALUE(MID(C4:AG4,FIND("-",C4:AG4)+1,10))-TIMEVALUE(LEFT(C4:AG4,FIND("-",C4:AG4)-1)))*24&gt;6, 0.75, 0)), 0))</f>
        <v>0</v>
      </c>
    </row>
    <row r="5" spans="1:36">
      <c r="A5" s="4" t="s">
        <v>35</v>
      </c>
      <c r="B5" s="2" t="s">
        <v>58</v>
      </c>
      <c r="C5" s="1" t="s">
        <v>62</v>
      </c>
      <c r="D5" s="1" t="s">
        <v>62</v>
      </c>
      <c r="E5" s="1" t="s">
        <v>62</v>
      </c>
      <c r="F5" s="1" t="s">
        <v>62</v>
      </c>
      <c r="G5" s="1" t="s">
        <v>62</v>
      </c>
      <c r="H5" s="1" t="s">
        <v>62</v>
      </c>
      <c r="I5" s="1" t="s">
        <v>62</v>
      </c>
      <c r="J5" s="1" t="s">
        <v>63</v>
      </c>
      <c r="K5" s="1" t="s">
        <v>63</v>
      </c>
      <c r="L5" s="1" t="s">
        <v>63</v>
      </c>
      <c r="N5" s="1" t="s">
        <v>62</v>
      </c>
      <c r="O5" s="1" t="s">
        <v>62</v>
      </c>
      <c r="P5" s="1" t="s">
        <v>63</v>
      </c>
      <c r="Q5" s="1" t="s">
        <v>63</v>
      </c>
      <c r="R5" s="1" t="s">
        <v>64</v>
      </c>
      <c r="T5" s="1" t="s">
        <v>63</v>
      </c>
      <c r="U5" s="1" t="s">
        <v>62</v>
      </c>
      <c r="V5" s="1" t="s">
        <v>63</v>
      </c>
      <c r="W5" s="1" t="s">
        <v>63</v>
      </c>
      <c r="Y5" s="1" t="s">
        <v>63</v>
      </c>
      <c r="Z5" s="1" t="s">
        <v>65</v>
      </c>
      <c r="AA5" s="1" t="s">
        <v>64</v>
      </c>
      <c r="AB5" s="1" t="s">
        <v>62</v>
      </c>
      <c r="AC5" s="1" t="s">
        <v>62</v>
      </c>
      <c r="AD5" s="1" t="s">
        <v>63</v>
      </c>
      <c r="AE5" s="1" t="s">
        <v>63</v>
      </c>
      <c r="AG5" s="1" t="s">
        <v>62</v>
      </c>
      <c r="AH5" s="3">
        <f t="array" ref="AH5">SUM(IFERROR(((TIMEVALUE(MID(C5:AG5,FIND("-",C5:AG5)+1,10))-TIMEVALUE(LEFT(C5:AG5,FIND("-",C5:AG5)-1)))*24) - IF((TIMEVALUE(MID(C5:AG5,FIND("-",C5:AG5)+1,10))-TIMEVALUE(LEFT(C5:AG5,FIND("-",C5:AG5)-1)))*24&gt;8, 1, IF((TIMEVALUE(MID(C5:AG5,FIND("-",C5:AG5)+1,10))-TIMEVALUE(LEFT(C5:AG5,FIND("-",C5:AG5)-1)))*24&gt;6, 0.75, 0)), 0))</f>
        <v>0</v>
      </c>
      <c r="AI5" s="3">
        <f t="array" ref="AI5">SUM(IFERROR(IF((TIMEVALUE(MID(C5:AG5,FIND("-",C5:AG5)+1,10))-TIMEVALUE(LEFT(C5:AG5,FIND("-",C5:AG5)-1)))*24&gt;8, 1, IF((TIMEVALUE(MID(C5:AG5,FIND("-",C5:AG5)+1,10))-TIMEVALUE(LEFT(C5:AG5,FIND("-",C5:AG5)-1)))*24&gt;6, 0.75, 0)), 0))</f>
        <v>0</v>
      </c>
    </row>
    <row r="6" spans="1:36">
      <c r="A6" s="4" t="s">
        <v>36</v>
      </c>
      <c r="B6" s="2" t="s">
        <v>58</v>
      </c>
      <c r="C6" s="1" t="s">
        <v>63</v>
      </c>
      <c r="D6" s="1" t="s">
        <v>63</v>
      </c>
      <c r="E6" s="1" t="s">
        <v>62</v>
      </c>
      <c r="F6" s="1" t="s">
        <v>62</v>
      </c>
      <c r="G6" s="1" t="s">
        <v>63</v>
      </c>
      <c r="H6" s="1" t="s">
        <v>63</v>
      </c>
      <c r="I6" s="1" t="s">
        <v>65</v>
      </c>
      <c r="L6" s="1" t="s">
        <v>62</v>
      </c>
      <c r="M6" s="1" t="s">
        <v>63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63</v>
      </c>
      <c r="S6" s="1" t="s">
        <v>62</v>
      </c>
      <c r="T6" s="1" t="s">
        <v>65</v>
      </c>
      <c r="U6" s="1" t="s">
        <v>62</v>
      </c>
      <c r="V6" s="1" t="s">
        <v>65</v>
      </c>
      <c r="W6" s="1" t="s">
        <v>62</v>
      </c>
      <c r="X6" s="1" t="s">
        <v>62</v>
      </c>
      <c r="Y6" s="1" t="s">
        <v>65</v>
      </c>
      <c r="Z6" s="1" t="s">
        <v>63</v>
      </c>
      <c r="AA6" s="1" t="s">
        <v>62</v>
      </c>
      <c r="AB6" s="1" t="s">
        <v>63</v>
      </c>
      <c r="AC6" s="1" t="s">
        <v>62</v>
      </c>
      <c r="AD6" s="1" t="s">
        <v>65</v>
      </c>
      <c r="AE6" s="1" t="s">
        <v>62</v>
      </c>
      <c r="AF6" s="1" t="s">
        <v>63</v>
      </c>
      <c r="AG6" s="1" t="s">
        <v>63</v>
      </c>
      <c r="AH6" s="3">
        <f t="array" ref="AH6">SUM(IFERROR(((TIMEVALUE(MID(C6:AG6,FIND("-",C6:AG6)+1,10))-TIMEVALUE(LEFT(C6:AG6,FIND("-",C6:AG6)-1)))*24) - IF((TIMEVALUE(MID(C6:AG6,FIND("-",C6:AG6)+1,10))-TIMEVALUE(LEFT(C6:AG6,FIND("-",C6:AG6)-1)))*24&gt;8, 1, IF((TIMEVALUE(MID(C6:AG6,FIND("-",C6:AG6)+1,10))-TIMEVALUE(LEFT(C6:AG6,FIND("-",C6:AG6)-1)))*24&gt;6, 0.75, 0)), 0))</f>
        <v>0</v>
      </c>
      <c r="AI6" s="3">
        <f t="array" ref="AI6">SUM(IFERROR(IF((TIMEVALUE(MID(C6:AG6,FIND("-",C6:AG6)+1,10))-TIMEVALUE(LEFT(C6:AG6,FIND("-",C6:AG6)-1)))*24&gt;8, 1, IF((TIMEVALUE(MID(C6:AG6,FIND("-",C6:AG6)+1,10))-TIMEVALUE(LEFT(C6:AG6,FIND("-",C6:AG6)-1)))*24&gt;6, 0.75, 0)), 0))</f>
        <v>0</v>
      </c>
    </row>
    <row r="7" spans="1:36">
      <c r="A7" s="4" t="s">
        <v>37</v>
      </c>
      <c r="B7" s="2" t="s">
        <v>58</v>
      </c>
      <c r="D7" s="1" t="s">
        <v>62</v>
      </c>
      <c r="E7" s="1" t="s">
        <v>62</v>
      </c>
      <c r="F7" s="1" t="s">
        <v>63</v>
      </c>
      <c r="G7" s="1" t="s">
        <v>64</v>
      </c>
      <c r="I7" s="1" t="s">
        <v>63</v>
      </c>
      <c r="J7" s="1" t="s">
        <v>65</v>
      </c>
      <c r="L7" s="1" t="s">
        <v>62</v>
      </c>
      <c r="M7" s="1" t="s">
        <v>68</v>
      </c>
      <c r="N7" s="1" t="s">
        <v>63</v>
      </c>
      <c r="P7" s="1" t="s">
        <v>64</v>
      </c>
      <c r="R7" s="1" t="s">
        <v>62</v>
      </c>
      <c r="S7" s="1" t="s">
        <v>63</v>
      </c>
      <c r="U7" s="1" t="s">
        <v>63</v>
      </c>
      <c r="W7" s="1" t="s">
        <v>64</v>
      </c>
      <c r="Z7" s="1" t="s">
        <v>62</v>
      </c>
      <c r="AA7" s="1" t="s">
        <v>63</v>
      </c>
      <c r="AB7" s="1" t="s">
        <v>68</v>
      </c>
      <c r="AC7" s="1" t="s">
        <v>62</v>
      </c>
      <c r="AD7" s="1" t="s">
        <v>64</v>
      </c>
      <c r="AE7" s="1" t="s">
        <v>62</v>
      </c>
      <c r="AF7" s="1" t="s">
        <v>62</v>
      </c>
      <c r="AG7" s="1" t="s">
        <v>65</v>
      </c>
      <c r="AH7" s="3">
        <f t="array" ref="AH7">SUM(IFERROR(((TIMEVALUE(MID(C7:AG7,FIND("-",C7:AG7)+1,10))-TIMEVALUE(LEFT(C7:AG7,FIND("-",C7:AG7)-1)))*24) - IF((TIMEVALUE(MID(C7:AG7,FIND("-",C7:AG7)+1,10))-TIMEVALUE(LEFT(C7:AG7,FIND("-",C7:AG7)-1)))*24&gt;8, 1, IF((TIMEVALUE(MID(C7:AG7,FIND("-",C7:AG7)+1,10))-TIMEVALUE(LEFT(C7:AG7,FIND("-",C7:AG7)-1)))*24&gt;6, 0.75, 0)), 0))</f>
        <v>0</v>
      </c>
      <c r="AI7" s="3">
        <f t="array" ref="AI7">SUM(IFERROR(IF((TIMEVALUE(MID(C7:AG7,FIND("-",C7:AG7)+1,10))-TIMEVALUE(LEFT(C7:AG7,FIND("-",C7:AG7)-1)))*24&gt;8, 1, IF((TIMEVALUE(MID(C7:AG7,FIND("-",C7:AG7)+1,10))-TIMEVALUE(LEFT(C7:AG7,FIND("-",C7:AG7)-1)))*24&gt;6, 0.75, 0)), 0))</f>
        <v>0</v>
      </c>
    </row>
    <row r="8" spans="1:36">
      <c r="A8" s="4" t="s">
        <v>38</v>
      </c>
      <c r="B8" s="2" t="s">
        <v>58</v>
      </c>
      <c r="E8" s="1" t="s">
        <v>63</v>
      </c>
      <c r="F8" s="1" t="s">
        <v>68</v>
      </c>
      <c r="G8" s="1" t="s">
        <v>68</v>
      </c>
      <c r="I8" s="1" t="s">
        <v>64</v>
      </c>
      <c r="L8" s="1" t="s">
        <v>68</v>
      </c>
      <c r="O8" s="1" t="s">
        <v>63</v>
      </c>
      <c r="S8" s="1" t="s">
        <v>64</v>
      </c>
      <c r="U8" s="1" t="s">
        <v>68</v>
      </c>
      <c r="X8" s="1" t="s">
        <v>63</v>
      </c>
      <c r="Z8" s="1" t="s">
        <v>68</v>
      </c>
      <c r="AA8" s="1" t="s">
        <v>68</v>
      </c>
      <c r="AC8" s="1" t="s">
        <v>63</v>
      </c>
      <c r="AH8" s="3">
        <f t="array" ref="AH8">SUM(IFERROR(((TIMEVALUE(MID(C8:AG8,FIND("-",C8:AG8)+1,10))-TIMEVALUE(LEFT(C8:AG8,FIND("-",C8:AG8)-1)))*24) - IF((TIMEVALUE(MID(C8:AG8,FIND("-",C8:AG8)+1,10))-TIMEVALUE(LEFT(C8:AG8,FIND("-",C8:AG8)-1)))*24&gt;8, 1, IF((TIMEVALUE(MID(C8:AG8,FIND("-",C8:AG8)+1,10))-TIMEVALUE(LEFT(C8:AG8,FIND("-",C8:AG8)-1)))*24&gt;6, 0.75, 0)), 0))</f>
        <v>0</v>
      </c>
      <c r="AI8" s="3">
        <f t="array" ref="AI8">SUM(IFERROR(IF((TIMEVALUE(MID(C8:AG8,FIND("-",C8:AG8)+1,10))-TIMEVALUE(LEFT(C8:AG8,FIND("-",C8:AG8)-1)))*24&gt;8, 1, IF((TIMEVALUE(MID(C8:AG8,FIND("-",C8:AG8)+1,10))-TIMEVALUE(LEFT(C8:AG8,FIND("-",C8:AG8)-1)))*24&gt;6, 0.75, 0)), 0))</f>
        <v>0</v>
      </c>
    </row>
    <row r="9" spans="1:36">
      <c r="A9" s="4" t="s">
        <v>39</v>
      </c>
      <c r="B9" s="2" t="s">
        <v>58</v>
      </c>
      <c r="C9" s="1" t="s">
        <v>64</v>
      </c>
      <c r="D9" s="1" t="s">
        <v>64</v>
      </c>
      <c r="E9" s="1" t="s">
        <v>62</v>
      </c>
      <c r="F9" s="1" t="s">
        <v>65</v>
      </c>
      <c r="G9" s="1" t="s">
        <v>62</v>
      </c>
      <c r="H9" s="1" t="s">
        <v>65</v>
      </c>
      <c r="I9" s="1" t="s">
        <v>62</v>
      </c>
      <c r="J9" s="1" t="s">
        <v>62</v>
      </c>
      <c r="L9" s="1" t="s">
        <v>62</v>
      </c>
      <c r="M9" s="1" t="s">
        <v>64</v>
      </c>
      <c r="N9" s="1" t="s">
        <v>64</v>
      </c>
      <c r="O9" s="1" t="s">
        <v>62</v>
      </c>
      <c r="P9" s="1" t="s">
        <v>65</v>
      </c>
      <c r="Q9" s="1" t="s">
        <v>65</v>
      </c>
      <c r="R9" s="1" t="s">
        <v>62</v>
      </c>
      <c r="S9" s="1" t="s">
        <v>62</v>
      </c>
      <c r="T9" s="1" t="s">
        <v>64</v>
      </c>
      <c r="U9" s="1" t="s">
        <v>65</v>
      </c>
      <c r="V9" s="1" t="s">
        <v>62</v>
      </c>
      <c r="W9" s="1" t="s">
        <v>65</v>
      </c>
      <c r="X9" s="1" t="s">
        <v>65</v>
      </c>
      <c r="Y9" s="1" t="s">
        <v>62</v>
      </c>
      <c r="Z9" s="1" t="s">
        <v>62</v>
      </c>
      <c r="AA9" s="1" t="s">
        <v>62</v>
      </c>
      <c r="AB9" s="1" t="s">
        <v>64</v>
      </c>
      <c r="AC9" s="1" t="s">
        <v>65</v>
      </c>
      <c r="AD9" s="1" t="s">
        <v>62</v>
      </c>
      <c r="AE9" s="1" t="s">
        <v>65</v>
      </c>
      <c r="AG9" s="1" t="s">
        <v>64</v>
      </c>
      <c r="AH9" s="3">
        <f t="array" ref="AH9">SUM(IFERROR(((TIMEVALUE(MID(C9:AG9,FIND("-",C9:AG9)+1,10))-TIMEVALUE(LEFT(C9:AG9,FIND("-",C9:AG9)-1)))*24) - IF((TIMEVALUE(MID(C9:AG9,FIND("-",C9:AG9)+1,10))-TIMEVALUE(LEFT(C9:AG9,FIND("-",C9:AG9)-1)))*24&gt;8, 1, IF((TIMEVALUE(MID(C9:AG9,FIND("-",C9:AG9)+1,10))-TIMEVALUE(LEFT(C9:AG9,FIND("-",C9:AG9)-1)))*24&gt;6, 0.75, 0)), 0))</f>
        <v>0</v>
      </c>
      <c r="AI9" s="3">
        <f t="array" ref="AI9">SUM(IFERROR(IF((TIMEVALUE(MID(C9:AG9,FIND("-",C9:AG9)+1,10))-TIMEVALUE(LEFT(C9:AG9,FIND("-",C9:AG9)-1)))*24&gt;8, 1, IF((TIMEVALUE(MID(C9:AG9,FIND("-",C9:AG9)+1,10))-TIMEVALUE(LEFT(C9:AG9,FIND("-",C9:AG9)-1)))*24&gt;6, 0.75, 0)), 0))</f>
        <v>0</v>
      </c>
    </row>
    <row r="10" spans="1:36">
      <c r="A10" s="4" t="s">
        <v>40</v>
      </c>
      <c r="B10" s="2" t="s">
        <v>58</v>
      </c>
      <c r="C10" s="1" t="s">
        <v>65</v>
      </c>
      <c r="D10" s="1" t="s">
        <v>62</v>
      </c>
      <c r="E10" s="1" t="s">
        <v>65</v>
      </c>
      <c r="F10" s="1" t="s">
        <v>62</v>
      </c>
      <c r="G10" s="1" t="s">
        <v>62</v>
      </c>
      <c r="H10" s="1" t="s">
        <v>62</v>
      </c>
      <c r="I10" s="1" t="s">
        <v>62</v>
      </c>
      <c r="J10" s="1" t="s">
        <v>62</v>
      </c>
      <c r="K10" s="1" t="s">
        <v>65</v>
      </c>
      <c r="L10" s="1" t="s">
        <v>62</v>
      </c>
      <c r="M10" s="1" t="s">
        <v>65</v>
      </c>
      <c r="N10" s="1" t="s">
        <v>62</v>
      </c>
      <c r="O10" s="1" t="s">
        <v>65</v>
      </c>
      <c r="P10" s="1" t="s">
        <v>62</v>
      </c>
      <c r="Q10" s="1" t="s">
        <v>64</v>
      </c>
      <c r="S10" s="1" t="s">
        <v>68</v>
      </c>
      <c r="T10" s="1" t="s">
        <v>62</v>
      </c>
      <c r="U10" s="1" t="s">
        <v>62</v>
      </c>
      <c r="W10" s="1" t="s">
        <v>62</v>
      </c>
      <c r="X10" s="1" t="s">
        <v>64</v>
      </c>
      <c r="AA10" s="1" t="s">
        <v>62</v>
      </c>
      <c r="AB10" s="1" t="s">
        <v>62</v>
      </c>
      <c r="AC10" s="1" t="s">
        <v>62</v>
      </c>
      <c r="AD10" s="1" t="s">
        <v>62</v>
      </c>
      <c r="AE10" s="1" t="s">
        <v>62</v>
      </c>
      <c r="AF10" s="1" t="s">
        <v>64</v>
      </c>
      <c r="AG10" s="1" t="s">
        <v>62</v>
      </c>
      <c r="AH10" s="3">
        <f t="array" ref="AH10">SUM(IFERROR(((TIMEVALUE(MID(C10:AG10,FIND("-",C10:AG10)+1,10))-TIMEVALUE(LEFT(C10:AG10,FIND("-",C10:AG10)-1)))*24) - IF((TIMEVALUE(MID(C10:AG10,FIND("-",C10:AG10)+1,10))-TIMEVALUE(LEFT(C10:AG10,FIND("-",C10:AG10)-1)))*24&gt;8, 1, IF((TIMEVALUE(MID(C10:AG10,FIND("-",C10:AG10)+1,10))-TIMEVALUE(LEFT(C10:AG10,FIND("-",C10:AG10)-1)))*24&gt;6, 0.75, 0)), 0))</f>
        <v>0</v>
      </c>
      <c r="AI10" s="3">
        <f t="array" ref="AI10">SUM(IFERROR(IF((TIMEVALUE(MID(C10:AG10,FIND("-",C10:AG10)+1,10))-TIMEVALUE(LEFT(C10:AG10,FIND("-",C10:AG10)-1)))*24&gt;8, 1, IF((TIMEVALUE(MID(C10:AG10,FIND("-",C10:AG10)+1,10))-TIMEVALUE(LEFT(C10:AG10,FIND("-",C10:AG10)-1)))*24&gt;6, 0.75, 0)), 0))</f>
        <v>0</v>
      </c>
    </row>
    <row r="11" spans="1:36">
      <c r="A11" s="4" t="s">
        <v>41</v>
      </c>
      <c r="B11" s="2" t="s">
        <v>58</v>
      </c>
      <c r="C11" s="1" t="s">
        <v>62</v>
      </c>
      <c r="D11" s="1" t="s">
        <v>65</v>
      </c>
      <c r="E11" s="1" t="s">
        <v>64</v>
      </c>
      <c r="F11" s="1" t="s">
        <v>64</v>
      </c>
      <c r="H11" s="1" t="s">
        <v>62</v>
      </c>
      <c r="I11" s="1" t="s">
        <v>62</v>
      </c>
      <c r="J11" s="1" t="s">
        <v>62</v>
      </c>
      <c r="K11" s="1" t="s">
        <v>64</v>
      </c>
      <c r="L11" s="1" t="s">
        <v>65</v>
      </c>
      <c r="N11" s="1" t="s">
        <v>65</v>
      </c>
      <c r="O11" s="1" t="s">
        <v>64</v>
      </c>
      <c r="P11" s="1" t="s">
        <v>62</v>
      </c>
      <c r="Q11" s="1" t="s">
        <v>62</v>
      </c>
      <c r="R11" s="1" t="s">
        <v>65</v>
      </c>
      <c r="T11" s="1" t="s">
        <v>68</v>
      </c>
      <c r="U11" s="1" t="s">
        <v>64</v>
      </c>
      <c r="V11" s="1" t="s">
        <v>62</v>
      </c>
      <c r="W11" s="1" t="s">
        <v>62</v>
      </c>
      <c r="X11" s="1" t="s">
        <v>62</v>
      </c>
      <c r="Y11" s="1" t="s">
        <v>64</v>
      </c>
      <c r="Z11" s="1" t="s">
        <v>64</v>
      </c>
      <c r="AB11" s="1" t="s">
        <v>65</v>
      </c>
      <c r="AD11" s="1" t="s">
        <v>62</v>
      </c>
      <c r="AE11" s="1" t="s">
        <v>62</v>
      </c>
      <c r="AF11" s="1" t="s">
        <v>65</v>
      </c>
      <c r="AG11" s="1" t="s">
        <v>68</v>
      </c>
      <c r="AH11" s="3">
        <f t="array" ref="AH11">SUM(IFERROR(((TIMEVALUE(MID(C11:AG11,FIND("-",C11:AG11)+1,10))-TIMEVALUE(LEFT(C11:AG11,FIND("-",C11:AG11)-1)))*24) - IF((TIMEVALUE(MID(C11:AG11,FIND("-",C11:AG11)+1,10))-TIMEVALUE(LEFT(C11:AG11,FIND("-",C11:AG11)-1)))*24&gt;8, 1, IF((TIMEVALUE(MID(C11:AG11,FIND("-",C11:AG11)+1,10))-TIMEVALUE(LEFT(C11:AG11,FIND("-",C11:AG11)-1)))*24&gt;6, 0.75, 0)), 0))</f>
        <v>0</v>
      </c>
      <c r="AI11" s="3">
        <f t="array" ref="AI11">SUM(IFERROR(IF((TIMEVALUE(MID(C11:AG11,FIND("-",C11:AG11)+1,10))-TIMEVALUE(LEFT(C11:AG11,FIND("-",C11:AG11)-1)))*24&gt;8, 1, IF((TIMEVALUE(MID(C11:AG11,FIND("-",C11:AG11)+1,10))-TIMEVALUE(LEFT(C11:AG11,FIND("-",C11:AG11)-1)))*24&gt;6, 0.75, 0)), 0))</f>
        <v>0</v>
      </c>
    </row>
    <row r="12" spans="1:36">
      <c r="A12" s="4" t="s">
        <v>42</v>
      </c>
      <c r="B12" s="2" t="s">
        <v>58</v>
      </c>
      <c r="E12" s="1" t="s">
        <v>62</v>
      </c>
      <c r="F12" s="1" t="s">
        <v>62</v>
      </c>
      <c r="G12" s="1" t="s">
        <v>65</v>
      </c>
      <c r="H12" s="1" t="s">
        <v>64</v>
      </c>
      <c r="I12" s="1" t="s">
        <v>62</v>
      </c>
      <c r="J12" s="1" t="s">
        <v>64</v>
      </c>
      <c r="L12" s="1" t="s">
        <v>64</v>
      </c>
      <c r="N12" s="1" t="s">
        <v>68</v>
      </c>
      <c r="S12" s="1" t="s">
        <v>65</v>
      </c>
      <c r="V12" s="1" t="s">
        <v>64</v>
      </c>
      <c r="AA12" s="1" t="s">
        <v>65</v>
      </c>
      <c r="AC12" s="1" t="s">
        <v>64</v>
      </c>
      <c r="AE12" s="1" t="s">
        <v>64</v>
      </c>
      <c r="AH12" s="3">
        <f t="array" ref="AH12">SUM(IFERROR(((TIMEVALUE(MID(C12:AG12,FIND("-",C12:AG12)+1,10))-TIMEVALUE(LEFT(C12:AG12,FIND("-",C12:AG12)-1)))*24) - IF((TIMEVALUE(MID(C12:AG12,FIND("-",C12:AG12)+1,10))-TIMEVALUE(LEFT(C12:AG12,FIND("-",C12:AG12)-1)))*24&gt;8, 1, IF((TIMEVALUE(MID(C12:AG12,FIND("-",C12:AG12)+1,10))-TIMEVALUE(LEFT(C12:AG12,FIND("-",C12:AG12)-1)))*24&gt;6, 0.75, 0)), 0))</f>
        <v>0</v>
      </c>
      <c r="AI12" s="3">
        <f t="array" ref="AI12">SUM(IFERROR(IF((TIMEVALUE(MID(C12:AG12,FIND("-",C12:AG12)+1,10))-TIMEVALUE(LEFT(C12:AG12,FIND("-",C12:AG12)-1)))*24&gt;8, 1, IF((TIMEVALUE(MID(C12:AG12,FIND("-",C12:AG12)+1,10))-TIMEVALUE(LEFT(C12:AG12,FIND("-",C12:AG12)-1)))*24&gt;6, 0.75, 0)), 0))</f>
        <v>0</v>
      </c>
    </row>
    <row r="13" spans="1:36">
      <c r="A13" s="4" t="s">
        <v>43</v>
      </c>
      <c r="B13" s="2" t="s">
        <v>57</v>
      </c>
      <c r="C13" s="1" t="s">
        <v>62</v>
      </c>
      <c r="D13" s="1" t="s">
        <v>62</v>
      </c>
      <c r="E13" s="1" t="s">
        <v>62</v>
      </c>
      <c r="F13" s="1" t="s">
        <v>61</v>
      </c>
      <c r="G13" s="1" t="s">
        <v>62</v>
      </c>
      <c r="H13" s="1" t="s">
        <v>61</v>
      </c>
      <c r="I13" s="1" t="s">
        <v>61</v>
      </c>
      <c r="J13" s="1" t="s">
        <v>62</v>
      </c>
      <c r="K13" s="1" t="s">
        <v>62</v>
      </c>
      <c r="L13" s="1" t="s">
        <v>62</v>
      </c>
      <c r="M13" s="1" t="s">
        <v>61</v>
      </c>
      <c r="N13" s="1" t="s">
        <v>62</v>
      </c>
      <c r="O13" s="1" t="s">
        <v>62</v>
      </c>
      <c r="P13" s="1" t="s">
        <v>61</v>
      </c>
      <c r="Q13" s="1" t="s">
        <v>62</v>
      </c>
      <c r="R13" s="1" t="s">
        <v>62</v>
      </c>
      <c r="S13" s="1" t="s">
        <v>62</v>
      </c>
      <c r="T13" s="1" t="s">
        <v>61</v>
      </c>
      <c r="U13" s="1" t="s">
        <v>62</v>
      </c>
      <c r="V13" s="1" t="s">
        <v>61</v>
      </c>
      <c r="W13" s="1" t="s">
        <v>61</v>
      </c>
      <c r="X13" s="1" t="s">
        <v>62</v>
      </c>
      <c r="Y13" s="1" t="s">
        <v>62</v>
      </c>
      <c r="Z13" s="1" t="s">
        <v>62</v>
      </c>
      <c r="AA13" s="1" t="s">
        <v>61</v>
      </c>
      <c r="AB13" s="1" t="s">
        <v>62</v>
      </c>
      <c r="AC13" s="1" t="s">
        <v>61</v>
      </c>
      <c r="AD13" s="1" t="s">
        <v>61</v>
      </c>
      <c r="AE13" s="1" t="s">
        <v>62</v>
      </c>
      <c r="AF13" s="1" t="s">
        <v>62</v>
      </c>
      <c r="AG13" s="1" t="s">
        <v>62</v>
      </c>
      <c r="AH13" s="3">
        <f t="array" ref="AH13">SUM(IFERROR(((TIMEVALUE(MID(C13:AG13,FIND("-",C13:AG13)+1,10))-TIMEVALUE(LEFT(C13:AG13,FIND("-",C13:AG13)-1)))*24) - IF((TIMEVALUE(MID(C13:AG13,FIND("-",C13:AG13)+1,10))-TIMEVALUE(LEFT(C13:AG13,FIND("-",C13:AG13)-1)))*24&gt;8, 1, IF((TIMEVALUE(MID(C13:AG13,FIND("-",C13:AG13)+1,10))-TIMEVALUE(LEFT(C13:AG13,FIND("-",C13:AG13)-1)))*24&gt;6, 0.75, 0)), 0))</f>
        <v>0</v>
      </c>
      <c r="AI13" s="3">
        <f t="array" ref="AI13">SUM(IFERROR(IF((TIMEVALUE(MID(C13:AG13,FIND("-",C13:AG13)+1,10))-TIMEVALUE(LEFT(C13:AG13,FIND("-",C13:AG13)-1)))*24&gt;8, 1, IF((TIMEVALUE(MID(C13:AG13,FIND("-",C13:AG13)+1,10))-TIMEVALUE(LEFT(C13:AG13,FIND("-",C13:AG13)-1)))*24&gt;6, 0.75, 0)), 0))</f>
        <v>0</v>
      </c>
    </row>
    <row r="14" spans="1:36">
      <c r="A14" s="4" t="s">
        <v>44</v>
      </c>
      <c r="B14" s="2" t="s">
        <v>59</v>
      </c>
      <c r="C14" s="1" t="s">
        <v>66</v>
      </c>
      <c r="D14" s="1" t="s">
        <v>62</v>
      </c>
      <c r="E14" s="1" t="s">
        <v>63</v>
      </c>
      <c r="F14" s="1" t="s">
        <v>62</v>
      </c>
      <c r="G14" s="1" t="s">
        <v>62</v>
      </c>
      <c r="H14" s="1" t="s">
        <v>62</v>
      </c>
      <c r="I14" s="1" t="s">
        <v>63</v>
      </c>
      <c r="J14" s="1" t="s">
        <v>63</v>
      </c>
      <c r="K14" s="1" t="s">
        <v>62</v>
      </c>
      <c r="L14" s="1" t="s">
        <v>63</v>
      </c>
      <c r="M14" s="1" t="s">
        <v>62</v>
      </c>
      <c r="N14" s="1" t="s">
        <v>62</v>
      </c>
      <c r="O14" s="1" t="s">
        <v>63</v>
      </c>
      <c r="P14" s="1" t="s">
        <v>63</v>
      </c>
      <c r="Q14" s="1" t="s">
        <v>62</v>
      </c>
      <c r="R14" s="1" t="s">
        <v>62</v>
      </c>
      <c r="S14" s="1" t="s">
        <v>62</v>
      </c>
      <c r="T14" s="1" t="s">
        <v>63</v>
      </c>
      <c r="U14" s="1" t="s">
        <v>62</v>
      </c>
      <c r="V14" s="1" t="s">
        <v>62</v>
      </c>
      <c r="W14" s="1" t="s">
        <v>63</v>
      </c>
      <c r="X14" s="1" t="s">
        <v>66</v>
      </c>
      <c r="Y14" s="1" t="s">
        <v>62</v>
      </c>
      <c r="Z14" s="1" t="s">
        <v>63</v>
      </c>
      <c r="AA14" s="1" t="s">
        <v>62</v>
      </c>
      <c r="AB14" s="1" t="s">
        <v>62</v>
      </c>
      <c r="AC14" s="1" t="s">
        <v>62</v>
      </c>
      <c r="AD14" s="1" t="s">
        <v>63</v>
      </c>
      <c r="AE14" s="1" t="s">
        <v>63</v>
      </c>
      <c r="AG14" s="1" t="s">
        <v>62</v>
      </c>
      <c r="AH14" s="3">
        <f t="array" ref="AH14">SUM(IFERROR(((TIMEVALUE(MID(C14:AG14,FIND("-",C14:AG14)+1,10))-TIMEVALUE(LEFT(C14:AG14,FIND("-",C14:AG14)-1)))*24) - IF((TIMEVALUE(MID(C14:AG14,FIND("-",C14:AG14)+1,10))-TIMEVALUE(LEFT(C14:AG14,FIND("-",C14:AG14)-1)))*24&gt;8, 1, IF((TIMEVALUE(MID(C14:AG14,FIND("-",C14:AG14)+1,10))-TIMEVALUE(LEFT(C14:AG14,FIND("-",C14:AG14)-1)))*24&gt;6, 0.75, 0)), 0))</f>
        <v>0</v>
      </c>
      <c r="AI14" s="3">
        <f t="array" ref="AI14">SUM(IFERROR(IF((TIMEVALUE(MID(C14:AG14,FIND("-",C14:AG14)+1,10))-TIMEVALUE(LEFT(C14:AG14,FIND("-",C14:AG14)-1)))*24&gt;8, 1, IF((TIMEVALUE(MID(C14:AG14,FIND("-",C14:AG14)+1,10))-TIMEVALUE(LEFT(C14:AG14,FIND("-",C14:AG14)-1)))*24&gt;6, 0.75, 0)), 0))</f>
        <v>0</v>
      </c>
    </row>
    <row r="15" spans="1:36">
      <c r="A15" s="4" t="s">
        <v>45</v>
      </c>
      <c r="B15" s="2" t="s">
        <v>59</v>
      </c>
      <c r="C15" s="1" t="s">
        <v>62</v>
      </c>
      <c r="D15" s="1" t="s">
        <v>62</v>
      </c>
      <c r="E15" s="1" t="s">
        <v>62</v>
      </c>
      <c r="F15" s="1" t="s">
        <v>63</v>
      </c>
      <c r="G15" s="1" t="s">
        <v>66</v>
      </c>
      <c r="H15" s="1" t="s">
        <v>63</v>
      </c>
      <c r="J15" s="1" t="s">
        <v>62</v>
      </c>
      <c r="K15" s="1" t="s">
        <v>62</v>
      </c>
      <c r="L15" s="1" t="s">
        <v>62</v>
      </c>
      <c r="M15" s="1" t="s">
        <v>63</v>
      </c>
      <c r="N15" s="1" t="s">
        <v>63</v>
      </c>
      <c r="P15" s="1" t="s">
        <v>66</v>
      </c>
      <c r="Q15" s="1" t="s">
        <v>62</v>
      </c>
      <c r="R15" s="1" t="s">
        <v>62</v>
      </c>
      <c r="S15" s="1" t="s">
        <v>62</v>
      </c>
      <c r="T15" s="1" t="s">
        <v>66</v>
      </c>
      <c r="U15" s="1" t="s">
        <v>66</v>
      </c>
      <c r="W15" s="1" t="s">
        <v>66</v>
      </c>
      <c r="X15" s="1" t="s">
        <v>62</v>
      </c>
      <c r="Y15" s="1" t="s">
        <v>62</v>
      </c>
      <c r="Z15" s="1" t="s">
        <v>62</v>
      </c>
      <c r="AA15" s="1" t="s">
        <v>63</v>
      </c>
      <c r="AB15" s="1" t="s">
        <v>66</v>
      </c>
      <c r="AC15" s="1" t="s">
        <v>66</v>
      </c>
      <c r="AE15" s="1" t="s">
        <v>62</v>
      </c>
      <c r="AF15" s="1" t="s">
        <v>62</v>
      </c>
      <c r="AG15" s="1" t="s">
        <v>66</v>
      </c>
      <c r="AH15" s="3">
        <f t="array" ref="AH15">SUM(IFERROR(((TIMEVALUE(MID(C15:AG15,FIND("-",C15:AG15)+1,10))-TIMEVALUE(LEFT(C15:AG15,FIND("-",C15:AG15)-1)))*24) - IF((TIMEVALUE(MID(C15:AG15,FIND("-",C15:AG15)+1,10))-TIMEVALUE(LEFT(C15:AG15,FIND("-",C15:AG15)-1)))*24&gt;8, 1, IF((TIMEVALUE(MID(C15:AG15,FIND("-",C15:AG15)+1,10))-TIMEVALUE(LEFT(C15:AG15,FIND("-",C15:AG15)-1)))*24&gt;6, 0.75, 0)), 0))</f>
        <v>0</v>
      </c>
      <c r="AI15" s="3">
        <f t="array" ref="AI15">SUM(IFERROR(IF((TIMEVALUE(MID(C15:AG15,FIND("-",C15:AG15)+1,10))-TIMEVALUE(LEFT(C15:AG15,FIND("-",C15:AG15)-1)))*24&gt;8, 1, IF((TIMEVALUE(MID(C15:AG15,FIND("-",C15:AG15)+1,10))-TIMEVALUE(LEFT(C15:AG15,FIND("-",C15:AG15)-1)))*24&gt;6, 0.75, 0)), 0))</f>
        <v>0</v>
      </c>
    </row>
    <row r="16" spans="1:36">
      <c r="A16" s="4" t="s">
        <v>46</v>
      </c>
      <c r="B16" s="2" t="s">
        <v>59</v>
      </c>
      <c r="E16" s="1" t="s">
        <v>63</v>
      </c>
      <c r="F16" s="1" t="s">
        <v>64</v>
      </c>
      <c r="I16" s="1" t="s">
        <v>63</v>
      </c>
      <c r="K16" s="1" t="s">
        <v>63</v>
      </c>
      <c r="L16" s="1" t="s">
        <v>64</v>
      </c>
      <c r="N16" s="1" t="s">
        <v>63</v>
      </c>
      <c r="S16" s="1" t="s">
        <v>66</v>
      </c>
      <c r="U16" s="1" t="s">
        <v>63</v>
      </c>
      <c r="Z16" s="1" t="s">
        <v>66</v>
      </c>
      <c r="AA16" s="1" t="s">
        <v>66</v>
      </c>
      <c r="AB16" s="1" t="s">
        <v>63</v>
      </c>
      <c r="AC16" s="1" t="s">
        <v>63</v>
      </c>
      <c r="AG16" s="1" t="s">
        <v>63</v>
      </c>
      <c r="AH16" s="3">
        <f t="array" ref="AH16">SUM(IFERROR(((TIMEVALUE(MID(C16:AG16,FIND("-",C16:AG16)+1,10))-TIMEVALUE(LEFT(C16:AG16,FIND("-",C16:AG16)-1)))*24) - IF((TIMEVALUE(MID(C16:AG16,FIND("-",C16:AG16)+1,10))-TIMEVALUE(LEFT(C16:AG16,FIND("-",C16:AG16)-1)))*24&gt;8, 1, IF((TIMEVALUE(MID(C16:AG16,FIND("-",C16:AG16)+1,10))-TIMEVALUE(LEFT(C16:AG16,FIND("-",C16:AG16)-1)))*24&gt;6, 0.75, 0)), 0))</f>
        <v>0</v>
      </c>
      <c r="AI16" s="3">
        <f t="array" ref="AI16">SUM(IFERROR(IF((TIMEVALUE(MID(C16:AG16,FIND("-",C16:AG16)+1,10))-TIMEVALUE(LEFT(C16:AG16,FIND("-",C16:AG16)-1)))*24&gt;8, 1, IF((TIMEVALUE(MID(C16:AG16,FIND("-",C16:AG16)+1,10))-TIMEVALUE(LEFT(C16:AG16,FIND("-",C16:AG16)-1)))*24&gt;6, 0.75, 0)), 0))</f>
        <v>0</v>
      </c>
    </row>
    <row r="17" spans="1:35">
      <c r="A17" s="4" t="s">
        <v>47</v>
      </c>
      <c r="B17" s="2" t="s">
        <v>59</v>
      </c>
      <c r="C17" s="1" t="s">
        <v>63</v>
      </c>
      <c r="D17" s="1" t="s">
        <v>66</v>
      </c>
      <c r="E17" s="1" t="s">
        <v>64</v>
      </c>
      <c r="F17" s="1" t="s">
        <v>62</v>
      </c>
      <c r="G17" s="1" t="s">
        <v>63</v>
      </c>
      <c r="H17" s="1" t="s">
        <v>66</v>
      </c>
      <c r="I17" s="1" t="s">
        <v>62</v>
      </c>
      <c r="J17" s="1" t="s">
        <v>63</v>
      </c>
      <c r="K17" s="1" t="s">
        <v>63</v>
      </c>
      <c r="L17" s="1" t="s">
        <v>63</v>
      </c>
      <c r="M17" s="1" t="s">
        <v>62</v>
      </c>
      <c r="N17" s="1" t="s">
        <v>62</v>
      </c>
      <c r="O17" s="1" t="s">
        <v>63</v>
      </c>
      <c r="Q17" s="1" t="s">
        <v>63</v>
      </c>
      <c r="R17" s="1" t="s">
        <v>63</v>
      </c>
      <c r="S17" s="1" t="s">
        <v>62</v>
      </c>
      <c r="T17" s="1" t="s">
        <v>62</v>
      </c>
      <c r="U17" s="1" t="s">
        <v>62</v>
      </c>
      <c r="V17" s="1" t="s">
        <v>66</v>
      </c>
      <c r="X17" s="1" t="s">
        <v>63</v>
      </c>
      <c r="Y17" s="1" t="s">
        <v>66</v>
      </c>
      <c r="AA17" s="1" t="s">
        <v>62</v>
      </c>
      <c r="AB17" s="1" t="s">
        <v>62</v>
      </c>
      <c r="AC17" s="1" t="s">
        <v>62</v>
      </c>
      <c r="AD17" s="1" t="s">
        <v>62</v>
      </c>
      <c r="AE17" s="1" t="s">
        <v>66</v>
      </c>
      <c r="AF17" s="1" t="s">
        <v>66</v>
      </c>
      <c r="AG17" s="1" t="s">
        <v>62</v>
      </c>
      <c r="AH17" s="3">
        <f t="array" ref="AH17">SUM(IFERROR(((TIMEVALUE(MID(C17:AG17,FIND("-",C17:AG17)+1,10))-TIMEVALUE(LEFT(C17:AG17,FIND("-",C17:AG17)-1)))*24) - IF((TIMEVALUE(MID(C17:AG17,FIND("-",C17:AG17)+1,10))-TIMEVALUE(LEFT(C17:AG17,FIND("-",C17:AG17)-1)))*24&gt;8, 1, IF((TIMEVALUE(MID(C17:AG17,FIND("-",C17:AG17)+1,10))-TIMEVALUE(LEFT(C17:AG17,FIND("-",C17:AG17)-1)))*24&gt;6, 0.75, 0)), 0))</f>
        <v>0</v>
      </c>
      <c r="AI17" s="3">
        <f t="array" ref="AI17">SUM(IFERROR(IF((TIMEVALUE(MID(C17:AG17,FIND("-",C17:AG17)+1,10))-TIMEVALUE(LEFT(C17:AG17,FIND("-",C17:AG17)-1)))*24&gt;8, 1, IF((TIMEVALUE(MID(C17:AG17,FIND("-",C17:AG17)+1,10))-TIMEVALUE(LEFT(C17:AG17,FIND("-",C17:AG17)-1)))*24&gt;6, 0.75, 0)), 0))</f>
        <v>0</v>
      </c>
    </row>
    <row r="18" spans="1:35">
      <c r="A18" s="4" t="s">
        <v>48</v>
      </c>
      <c r="B18" s="2" t="s">
        <v>59</v>
      </c>
      <c r="C18" s="1" t="s">
        <v>62</v>
      </c>
      <c r="D18" s="1" t="s">
        <v>63</v>
      </c>
      <c r="E18" s="1" t="s">
        <v>62</v>
      </c>
      <c r="F18" s="1" t="s">
        <v>66</v>
      </c>
      <c r="G18" s="1" t="s">
        <v>62</v>
      </c>
      <c r="H18" s="1" t="s">
        <v>62</v>
      </c>
      <c r="I18" s="1" t="s">
        <v>66</v>
      </c>
      <c r="J18" s="1" t="s">
        <v>66</v>
      </c>
      <c r="K18" s="1" t="s">
        <v>66</v>
      </c>
      <c r="L18" s="1" t="s">
        <v>62</v>
      </c>
      <c r="M18" s="1" t="s">
        <v>62</v>
      </c>
      <c r="N18" s="1" t="s">
        <v>62</v>
      </c>
      <c r="O18" s="1" t="s">
        <v>66</v>
      </c>
      <c r="P18" s="1" t="s">
        <v>62</v>
      </c>
      <c r="Q18" s="1" t="s">
        <v>66</v>
      </c>
      <c r="R18" s="1" t="s">
        <v>63</v>
      </c>
      <c r="S18" s="1" t="s">
        <v>62</v>
      </c>
      <c r="T18" s="1" t="s">
        <v>62</v>
      </c>
      <c r="U18" s="1" t="s">
        <v>62</v>
      </c>
      <c r="V18" s="1" t="s">
        <v>63</v>
      </c>
      <c r="W18" s="1" t="s">
        <v>63</v>
      </c>
      <c r="Y18" s="1" t="s">
        <v>63</v>
      </c>
      <c r="Z18" s="1" t="s">
        <v>62</v>
      </c>
      <c r="AA18" s="1" t="s">
        <v>62</v>
      </c>
      <c r="AB18" s="1" t="s">
        <v>62</v>
      </c>
      <c r="AC18" s="1" t="s">
        <v>63</v>
      </c>
      <c r="AD18" s="1" t="s">
        <v>66</v>
      </c>
      <c r="AF18" s="1" t="s">
        <v>63</v>
      </c>
      <c r="AG18" s="1" t="s">
        <v>62</v>
      </c>
      <c r="AH18" s="3">
        <f t="array" ref="AH18">SUM(IFERROR(((TIMEVALUE(MID(C18:AG18,FIND("-",C18:AG18)+1,10))-TIMEVALUE(LEFT(C18:AG18,FIND("-",C18:AG18)-1)))*24) - IF((TIMEVALUE(MID(C18:AG18,FIND("-",C18:AG18)+1,10))-TIMEVALUE(LEFT(C18:AG18,FIND("-",C18:AG18)-1)))*24&gt;8, 1, IF((TIMEVALUE(MID(C18:AG18,FIND("-",C18:AG18)+1,10))-TIMEVALUE(LEFT(C18:AG18,FIND("-",C18:AG18)-1)))*24&gt;6, 0.75, 0)), 0))</f>
        <v>0</v>
      </c>
      <c r="AI18" s="3">
        <f t="array" ref="AI18">SUM(IFERROR(IF((TIMEVALUE(MID(C18:AG18,FIND("-",C18:AG18)+1,10))-TIMEVALUE(LEFT(C18:AG18,FIND("-",C18:AG18)-1)))*24&gt;8, 1, IF((TIMEVALUE(MID(C18:AG18,FIND("-",C18:AG18)+1,10))-TIMEVALUE(LEFT(C18:AG18,FIND("-",C18:AG18)-1)))*24&gt;6, 0.75, 0)), 0))</f>
        <v>0</v>
      </c>
    </row>
    <row r="19" spans="1:35">
      <c r="A19" s="4" t="s">
        <v>49</v>
      </c>
      <c r="B19" s="2" t="s">
        <v>60</v>
      </c>
      <c r="C19" s="1" t="s">
        <v>62</v>
      </c>
      <c r="D19" s="1" t="s">
        <v>62</v>
      </c>
      <c r="E19" s="1" t="s">
        <v>62</v>
      </c>
      <c r="F19" s="1" t="s">
        <v>67</v>
      </c>
      <c r="G19" s="1" t="s">
        <v>62</v>
      </c>
      <c r="H19" s="1" t="s">
        <v>62</v>
      </c>
      <c r="I19" s="1" t="s">
        <v>62</v>
      </c>
      <c r="J19" s="1" t="s">
        <v>62</v>
      </c>
      <c r="K19" s="1" t="s">
        <v>62</v>
      </c>
      <c r="L19" s="1" t="s">
        <v>62</v>
      </c>
      <c r="M19" s="1" t="s">
        <v>67</v>
      </c>
      <c r="N19" s="1" t="s">
        <v>62</v>
      </c>
      <c r="O19" s="1" t="s">
        <v>62</v>
      </c>
      <c r="P19" s="1" t="s">
        <v>62</v>
      </c>
      <c r="Q19" s="1" t="s">
        <v>62</v>
      </c>
      <c r="R19" s="1" t="s">
        <v>62</v>
      </c>
      <c r="S19" s="1" t="s">
        <v>62</v>
      </c>
      <c r="T19" s="1" t="s">
        <v>62</v>
      </c>
      <c r="U19" s="1" t="s">
        <v>67</v>
      </c>
      <c r="V19" s="1" t="s">
        <v>62</v>
      </c>
      <c r="W19" s="1" t="s">
        <v>62</v>
      </c>
      <c r="X19" s="1" t="s">
        <v>67</v>
      </c>
      <c r="Y19" s="1" t="s">
        <v>62</v>
      </c>
      <c r="Z19" s="1" t="s">
        <v>62</v>
      </c>
      <c r="AA19" s="1" t="s">
        <v>62</v>
      </c>
      <c r="AB19" s="1" t="s">
        <v>67</v>
      </c>
      <c r="AC19" s="1" t="s">
        <v>62</v>
      </c>
      <c r="AD19" s="1" t="s">
        <v>62</v>
      </c>
      <c r="AE19" s="1" t="s">
        <v>67</v>
      </c>
      <c r="AF19" s="1" t="s">
        <v>62</v>
      </c>
      <c r="AG19" s="1" t="s">
        <v>67</v>
      </c>
      <c r="AH19" s="3">
        <f t="array" ref="AH19">SUM(IFERROR(((TIMEVALUE(MID(C19:AG19,FIND("-",C19:AG19)+1,10))-TIMEVALUE(LEFT(C19:AG19,FIND("-",C19:AG19)-1)))*24) - IF((TIMEVALUE(MID(C19:AG19,FIND("-",C19:AG19)+1,10))-TIMEVALUE(LEFT(C19:AG19,FIND("-",C19:AG19)-1)))*24&gt;8, 1, IF((TIMEVALUE(MID(C19:AG19,FIND("-",C19:AG19)+1,10))-TIMEVALUE(LEFT(C19:AG19,FIND("-",C19:AG19)-1)))*24&gt;6, 0.75, 0)), 0))</f>
        <v>0</v>
      </c>
      <c r="AI19" s="3">
        <f t="array" ref="AI19">SUM(IFERROR(IF((TIMEVALUE(MID(C19:AG19,FIND("-",C19:AG19)+1,10))-TIMEVALUE(LEFT(C19:AG19,FIND("-",C19:AG19)-1)))*24&gt;8, 1, IF((TIMEVALUE(MID(C19:AG19,FIND("-",C19:AG19)+1,10))-TIMEVALUE(LEFT(C19:AG19,FIND("-",C19:AG19)-1)))*24&gt;6, 0.75, 0)), 0))</f>
        <v>0</v>
      </c>
    </row>
    <row r="20" spans="1:35">
      <c r="A20" s="4" t="s">
        <v>50</v>
      </c>
      <c r="B20" s="2" t="s">
        <v>59</v>
      </c>
      <c r="D20" s="1" t="s">
        <v>62</v>
      </c>
      <c r="E20" s="1" t="s">
        <v>66</v>
      </c>
      <c r="F20" s="1" t="s">
        <v>62</v>
      </c>
      <c r="G20" s="1" t="s">
        <v>63</v>
      </c>
      <c r="H20" s="1" t="s">
        <v>63</v>
      </c>
      <c r="I20" s="1" t="s">
        <v>62</v>
      </c>
      <c r="J20" s="1" t="s">
        <v>62</v>
      </c>
      <c r="K20" s="1" t="s">
        <v>62</v>
      </c>
      <c r="L20" s="1" t="s">
        <v>62</v>
      </c>
      <c r="M20" s="1" t="s">
        <v>66</v>
      </c>
      <c r="N20" s="1" t="s">
        <v>66</v>
      </c>
      <c r="P20" s="1" t="s">
        <v>63</v>
      </c>
      <c r="R20" s="1" t="s">
        <v>66</v>
      </c>
      <c r="S20" s="1" t="s">
        <v>63</v>
      </c>
      <c r="T20" s="1" t="s">
        <v>64</v>
      </c>
      <c r="V20" s="1" t="s">
        <v>63</v>
      </c>
      <c r="W20" s="1" t="s">
        <v>62</v>
      </c>
      <c r="Y20" s="1" t="s">
        <v>63</v>
      </c>
      <c r="Z20" s="1" t="s">
        <v>64</v>
      </c>
      <c r="AA20" s="1" t="s">
        <v>64</v>
      </c>
      <c r="AC20" s="1" t="s">
        <v>62</v>
      </c>
      <c r="AD20" s="1" t="s">
        <v>62</v>
      </c>
      <c r="AF20" s="1" t="s">
        <v>63</v>
      </c>
      <c r="AG20" s="1" t="s">
        <v>64</v>
      </c>
      <c r="AH20" s="3">
        <f t="array" ref="AH20">SUM(IFERROR(((TIMEVALUE(MID(C20:AG20,FIND("-",C20:AG20)+1,10))-TIMEVALUE(LEFT(C20:AG20,FIND("-",C20:AG20)-1)))*24) - IF((TIMEVALUE(MID(C20:AG20,FIND("-",C20:AG20)+1,10))-TIMEVALUE(LEFT(C20:AG20,FIND("-",C20:AG20)-1)))*24&gt;8, 1, IF((TIMEVALUE(MID(C20:AG20,FIND("-",C20:AG20)+1,10))-TIMEVALUE(LEFT(C20:AG20,FIND("-",C20:AG20)-1)))*24&gt;6, 0.75, 0)), 0))</f>
        <v>0</v>
      </c>
      <c r="AI20" s="3">
        <f t="array" ref="AI20">SUM(IFERROR(IF((TIMEVALUE(MID(C20:AG20,FIND("-",C20:AG20)+1,10))-TIMEVALUE(LEFT(C20:AG20,FIND("-",C20:AG20)-1)))*24&gt;8, 1, IF((TIMEVALUE(MID(C20:AG20,FIND("-",C20:AG20)+1,10))-TIMEVALUE(LEFT(C20:AG20,FIND("-",C20:AG20)-1)))*24&gt;6, 0.75, 0)), 0))</f>
        <v>0</v>
      </c>
    </row>
    <row r="21" spans="1:35">
      <c r="A21" s="4" t="s">
        <v>51</v>
      </c>
      <c r="B21" s="2" t="s">
        <v>57</v>
      </c>
      <c r="C21" s="1" t="s">
        <v>67</v>
      </c>
      <c r="D21" s="1" t="s">
        <v>61</v>
      </c>
      <c r="E21" s="1" t="s">
        <v>67</v>
      </c>
      <c r="F21" s="1" t="s">
        <v>62</v>
      </c>
      <c r="G21" s="1" t="s">
        <v>62</v>
      </c>
      <c r="H21" s="1" t="s">
        <v>62</v>
      </c>
      <c r="I21" s="1" t="s">
        <v>62</v>
      </c>
      <c r="J21" s="1" t="s">
        <v>67</v>
      </c>
      <c r="K21" s="1" t="s">
        <v>62</v>
      </c>
      <c r="L21" s="1" t="s">
        <v>62</v>
      </c>
      <c r="M21" s="1" t="s">
        <v>67</v>
      </c>
      <c r="N21" s="1" t="s">
        <v>67</v>
      </c>
      <c r="O21" s="1" t="s">
        <v>67</v>
      </c>
      <c r="P21" s="1" t="s">
        <v>62</v>
      </c>
      <c r="Q21" s="1" t="s">
        <v>67</v>
      </c>
      <c r="R21" s="1" t="s">
        <v>62</v>
      </c>
      <c r="S21" s="1" t="s">
        <v>67</v>
      </c>
      <c r="T21" s="1" t="s">
        <v>67</v>
      </c>
      <c r="U21" s="1" t="s">
        <v>67</v>
      </c>
      <c r="W21" s="1" t="s">
        <v>62</v>
      </c>
      <c r="X21" s="1" t="s">
        <v>67</v>
      </c>
      <c r="Y21" s="1" t="s">
        <v>62</v>
      </c>
      <c r="Z21" s="1" t="s">
        <v>62</v>
      </c>
      <c r="AA21" s="1" t="s">
        <v>62</v>
      </c>
      <c r="AB21" s="1" t="s">
        <v>67</v>
      </c>
      <c r="AC21" s="1" t="s">
        <v>67</v>
      </c>
      <c r="AD21" s="1" t="s">
        <v>62</v>
      </c>
      <c r="AE21" s="1" t="s">
        <v>67</v>
      </c>
      <c r="AF21" s="1" t="s">
        <v>62</v>
      </c>
      <c r="AG21" s="1" t="s">
        <v>67</v>
      </c>
      <c r="AH21" s="3">
        <f t="array" ref="AH21">SUM(IFERROR(((TIMEVALUE(MID(C21:AG21,FIND("-",C21:AG21)+1,10))-TIMEVALUE(LEFT(C21:AG21,FIND("-",C21:AG21)-1)))*24) - IF((TIMEVALUE(MID(C21:AG21,FIND("-",C21:AG21)+1,10))-TIMEVALUE(LEFT(C21:AG21,FIND("-",C21:AG21)-1)))*24&gt;8, 1, IF((TIMEVALUE(MID(C21:AG21,FIND("-",C21:AG21)+1,10))-TIMEVALUE(LEFT(C21:AG21,FIND("-",C21:AG21)-1)))*24&gt;6, 0.75, 0)), 0))</f>
        <v>0</v>
      </c>
      <c r="AI21" s="3">
        <f t="array" ref="AI21">SUM(IFERROR(IF((TIMEVALUE(MID(C21:AG21,FIND("-",C21:AG21)+1,10))-TIMEVALUE(LEFT(C21:AG21,FIND("-",C21:AG21)-1)))*24&gt;8, 1, IF((TIMEVALUE(MID(C21:AG21,FIND("-",C21:AG21)+1,10))-TIMEVALUE(LEFT(C21:AG21,FIND("-",C21:AG21)-1)))*24&gt;6, 0.75, 0)), 0))</f>
        <v>0</v>
      </c>
    </row>
    <row r="22" spans="1:35">
      <c r="A22" s="4" t="s">
        <v>52</v>
      </c>
      <c r="B22" s="2" t="s">
        <v>59</v>
      </c>
      <c r="D22" s="1" t="s">
        <v>63</v>
      </c>
      <c r="F22" s="1" t="s">
        <v>63</v>
      </c>
      <c r="G22" s="1" t="s">
        <v>64</v>
      </c>
      <c r="L22" s="1" t="s">
        <v>66</v>
      </c>
      <c r="M22" s="1" t="s">
        <v>63</v>
      </c>
      <c r="N22" s="1" t="s">
        <v>64</v>
      </c>
      <c r="S22" s="1" t="s">
        <v>63</v>
      </c>
      <c r="T22" s="1" t="s">
        <v>63</v>
      </c>
      <c r="U22" s="1" t="s">
        <v>64</v>
      </c>
      <c r="Z22" s="1" t="s">
        <v>63</v>
      </c>
      <c r="AA22" s="1" t="s">
        <v>63</v>
      </c>
      <c r="AB22" s="1" t="s">
        <v>64</v>
      </c>
      <c r="AD22" s="1" t="s">
        <v>63</v>
      </c>
      <c r="AH22" s="3">
        <f t="array" ref="AH22">SUM(IFERROR(((TIMEVALUE(MID(C22:AG22,FIND("-",C22:AG22)+1,10))-TIMEVALUE(LEFT(C22:AG22,FIND("-",C22:AG22)-1)))*24) - IF((TIMEVALUE(MID(C22:AG22,FIND("-",C22:AG22)+1,10))-TIMEVALUE(LEFT(C22:AG22,FIND("-",C22:AG22)-1)))*24&gt;8, 1, IF((TIMEVALUE(MID(C22:AG22,FIND("-",C22:AG22)+1,10))-TIMEVALUE(LEFT(C22:AG22,FIND("-",C22:AG22)-1)))*24&gt;6, 0.75, 0)), 0))</f>
        <v>0</v>
      </c>
      <c r="AI22" s="3">
        <f t="array" ref="AI22">SUM(IFERROR(IF((TIMEVALUE(MID(C22:AG22,FIND("-",C22:AG22)+1,10))-TIMEVALUE(LEFT(C22:AG22,FIND("-",C22:AG22)-1)))*24&gt;8, 1, IF((TIMEVALUE(MID(C22:AG22,FIND("-",C22:AG22)+1,10))-TIMEVALUE(LEFT(C22:AG22,FIND("-",C22:AG22)-1)))*24&gt;6, 0.75, 0)), 0))</f>
        <v>0</v>
      </c>
    </row>
    <row r="23" spans="1:35">
      <c r="A23" s="4" t="s">
        <v>53</v>
      </c>
      <c r="B23" s="2" t="s">
        <v>60</v>
      </c>
      <c r="C23" s="1" t="s">
        <v>61</v>
      </c>
      <c r="D23" s="1" t="s">
        <v>62</v>
      </c>
      <c r="E23" s="1" t="s">
        <v>67</v>
      </c>
      <c r="F23" s="1" t="s">
        <v>61</v>
      </c>
      <c r="G23" s="1" t="s">
        <v>61</v>
      </c>
      <c r="H23" s="1" t="s">
        <v>62</v>
      </c>
      <c r="I23" s="1" t="s">
        <v>67</v>
      </c>
      <c r="J23" s="1" t="s">
        <v>61</v>
      </c>
      <c r="K23" s="1" t="s">
        <v>62</v>
      </c>
      <c r="L23" s="1" t="s">
        <v>67</v>
      </c>
      <c r="M23" s="1" t="s">
        <v>61</v>
      </c>
      <c r="N23" s="1" t="s">
        <v>61</v>
      </c>
      <c r="O23" s="1" t="s">
        <v>62</v>
      </c>
      <c r="P23" s="1" t="s">
        <v>67</v>
      </c>
      <c r="Q23" s="1" t="s">
        <v>67</v>
      </c>
      <c r="R23" s="1" t="s">
        <v>62</v>
      </c>
      <c r="S23" s="1" t="s">
        <v>61</v>
      </c>
      <c r="T23" s="1" t="s">
        <v>67</v>
      </c>
      <c r="U23" s="1" t="s">
        <v>61</v>
      </c>
      <c r="V23" s="1" t="s">
        <v>62</v>
      </c>
      <c r="W23" s="1" t="s">
        <v>67</v>
      </c>
      <c r="Y23" s="1" t="s">
        <v>62</v>
      </c>
      <c r="Z23" s="1" t="s">
        <v>67</v>
      </c>
      <c r="AA23" s="1" t="s">
        <v>67</v>
      </c>
      <c r="AC23" s="1" t="s">
        <v>62</v>
      </c>
      <c r="AD23" s="1" t="s">
        <v>67</v>
      </c>
      <c r="AF23" s="1" t="s">
        <v>62</v>
      </c>
      <c r="AG23" s="1" t="s">
        <v>61</v>
      </c>
      <c r="AH23" s="3">
        <f t="array" ref="AH23">SUM(IFERROR(((TIMEVALUE(MID(C23:AG23,FIND("-",C23:AG23)+1,10))-TIMEVALUE(LEFT(C23:AG23,FIND("-",C23:AG23)-1)))*24) - IF((TIMEVALUE(MID(C23:AG23,FIND("-",C23:AG23)+1,10))-TIMEVALUE(LEFT(C23:AG23,FIND("-",C23:AG23)-1)))*24&gt;8, 1, IF((TIMEVALUE(MID(C23:AG23,FIND("-",C23:AG23)+1,10))-TIMEVALUE(LEFT(C23:AG23,FIND("-",C23:AG23)-1)))*24&gt;6, 0.75, 0)), 0))</f>
        <v>0</v>
      </c>
      <c r="AI23" s="3">
        <f t="array" ref="AI23">SUM(IFERROR(IF((TIMEVALUE(MID(C23:AG23,FIND("-",C23:AG23)+1,10))-TIMEVALUE(LEFT(C23:AG23,FIND("-",C23:AG23)-1)))*24&gt;8, 1, IF((TIMEVALUE(MID(C23:AG23,FIND("-",C23:AG23)+1,10))-TIMEVALUE(LEFT(C23:AG23,FIND("-",C23:AG23)-1)))*24&gt;6, 0.75, 0)), 0))</f>
        <v>0</v>
      </c>
    </row>
    <row r="24" spans="1:35">
      <c r="A24" s="4" t="s">
        <v>54</v>
      </c>
      <c r="B24" s="2" t="s">
        <v>60</v>
      </c>
      <c r="C24" s="1" t="s">
        <v>67</v>
      </c>
      <c r="D24" s="1" t="s">
        <v>67</v>
      </c>
      <c r="E24" s="1" t="s">
        <v>61</v>
      </c>
      <c r="F24" s="1" t="s">
        <v>62</v>
      </c>
      <c r="G24" s="1" t="s">
        <v>67</v>
      </c>
      <c r="H24" s="1" t="s">
        <v>67</v>
      </c>
      <c r="I24" s="1" t="s">
        <v>62</v>
      </c>
      <c r="J24" s="1" t="s">
        <v>67</v>
      </c>
      <c r="K24" s="1" t="s">
        <v>67</v>
      </c>
      <c r="L24" s="1" t="s">
        <v>61</v>
      </c>
      <c r="M24" s="1" t="s">
        <v>62</v>
      </c>
      <c r="N24" s="1" t="s">
        <v>67</v>
      </c>
      <c r="O24" s="1" t="s">
        <v>67</v>
      </c>
      <c r="P24" s="1" t="s">
        <v>62</v>
      </c>
      <c r="Q24" s="1" t="s">
        <v>62</v>
      </c>
      <c r="R24" s="1" t="s">
        <v>67</v>
      </c>
      <c r="S24" s="1" t="s">
        <v>67</v>
      </c>
      <c r="T24" s="1" t="s">
        <v>61</v>
      </c>
      <c r="V24" s="1" t="s">
        <v>67</v>
      </c>
      <c r="W24" s="1" t="s">
        <v>62</v>
      </c>
      <c r="X24" s="1" t="s">
        <v>61</v>
      </c>
      <c r="Y24" s="1" t="s">
        <v>67</v>
      </c>
      <c r="Z24" s="1" t="s">
        <v>61</v>
      </c>
      <c r="AA24" s="1" t="s">
        <v>62</v>
      </c>
      <c r="AB24" s="1" t="s">
        <v>61</v>
      </c>
      <c r="AC24" s="1" t="s">
        <v>62</v>
      </c>
      <c r="AD24" s="1" t="s">
        <v>62</v>
      </c>
      <c r="AE24" s="1" t="s">
        <v>61</v>
      </c>
      <c r="AF24" s="1" t="s">
        <v>67</v>
      </c>
      <c r="AH24" s="3">
        <f t="array" ref="AH24">SUM(IFERROR(((TIMEVALUE(MID(C24:AG24,FIND("-",C24:AG24)+1,10))-TIMEVALUE(LEFT(C24:AG24,FIND("-",C24:AG24)-1)))*24) - IF((TIMEVALUE(MID(C24:AG24,FIND("-",C24:AG24)+1,10))-TIMEVALUE(LEFT(C24:AG24,FIND("-",C24:AG24)-1)))*24&gt;8, 1, IF((TIMEVALUE(MID(C24:AG24,FIND("-",C24:AG24)+1,10))-TIMEVALUE(LEFT(C24:AG24,FIND("-",C24:AG24)-1)))*24&gt;6, 0.75, 0)), 0))</f>
        <v>0</v>
      </c>
      <c r="AI24" s="3">
        <f t="array" ref="AI24">SUM(IFERROR(IF((TIMEVALUE(MID(C24:AG24,FIND("-",C24:AG24)+1,10))-TIMEVALUE(LEFT(C24:AG24,FIND("-",C24:AG24)-1)))*24&gt;8, 1, IF((TIMEVALUE(MID(C24:AG24,FIND("-",C24:AG24)+1,10))-TIMEVALUE(LEFT(C24:AG24,FIND("-",C24:AG24)-1)))*24&gt;6, 0.75, 0)), 0))</f>
        <v>0</v>
      </c>
    </row>
    <row r="25" spans="1:35">
      <c r="A25" s="4" t="s">
        <v>55</v>
      </c>
      <c r="B25" s="2" t="s">
        <v>59</v>
      </c>
      <c r="C25" s="1" t="s">
        <v>63</v>
      </c>
      <c r="D25" s="1" t="s">
        <v>62</v>
      </c>
      <c r="E25" s="1" t="s">
        <v>62</v>
      </c>
      <c r="F25" s="1" t="s">
        <v>62</v>
      </c>
      <c r="G25" s="1" t="s">
        <v>62</v>
      </c>
      <c r="H25" s="1" t="s">
        <v>62</v>
      </c>
      <c r="I25" s="1" t="s">
        <v>62</v>
      </c>
      <c r="J25" s="1" t="s">
        <v>62</v>
      </c>
      <c r="K25" s="1" t="s">
        <v>62</v>
      </c>
      <c r="L25" s="1" t="s">
        <v>62</v>
      </c>
      <c r="M25" s="1" t="s">
        <v>62</v>
      </c>
      <c r="N25" s="1" t="s">
        <v>62</v>
      </c>
      <c r="O25" s="1" t="s">
        <v>62</v>
      </c>
      <c r="P25" s="1" t="s">
        <v>62</v>
      </c>
      <c r="Q25" s="1" t="s">
        <v>63</v>
      </c>
      <c r="R25" s="1" t="s">
        <v>62</v>
      </c>
      <c r="S25" s="1" t="s">
        <v>62</v>
      </c>
      <c r="T25" s="1" t="s">
        <v>62</v>
      </c>
      <c r="U25" s="1" t="s">
        <v>63</v>
      </c>
      <c r="V25" s="1" t="s">
        <v>62</v>
      </c>
      <c r="W25" s="1" t="s">
        <v>62</v>
      </c>
      <c r="X25" s="1" t="s">
        <v>63</v>
      </c>
      <c r="Y25" s="1" t="s">
        <v>62</v>
      </c>
      <c r="Z25" s="1" t="s">
        <v>62</v>
      </c>
      <c r="AA25" s="1" t="s">
        <v>62</v>
      </c>
      <c r="AB25" s="1" t="s">
        <v>63</v>
      </c>
      <c r="AC25" s="1" t="s">
        <v>62</v>
      </c>
      <c r="AD25" s="1" t="s">
        <v>62</v>
      </c>
      <c r="AE25" s="1" t="s">
        <v>63</v>
      </c>
      <c r="AF25" s="1" t="s">
        <v>62</v>
      </c>
      <c r="AG25" s="1" t="s">
        <v>63</v>
      </c>
      <c r="AH25" s="3">
        <f t="array" ref="AH25">SUM(IFERROR(((TIMEVALUE(MID(C25:AG25,FIND("-",C25:AG25)+1,10))-TIMEVALUE(LEFT(C25:AG25,FIND("-",C25:AG25)-1)))*24) - IF((TIMEVALUE(MID(C25:AG25,FIND("-",C25:AG25)+1,10))-TIMEVALUE(LEFT(C25:AG25,FIND("-",C25:AG25)-1)))*24&gt;8, 1, IF((TIMEVALUE(MID(C25:AG25,FIND("-",C25:AG25)+1,10))-TIMEVALUE(LEFT(C25:AG25,FIND("-",C25:AG25)-1)))*24&gt;6, 0.75, 0)), 0))</f>
        <v>0</v>
      </c>
      <c r="AI25" s="3">
        <f t="array" ref="AI25">SUM(IFERROR(IF((TIMEVALUE(MID(C25:AG25,FIND("-",C25:AG25)+1,10))-TIMEVALUE(LEFT(C25:AG25,FIND("-",C25:AG25)-1)))*24&gt;8, 1, IF((TIMEVALUE(MID(C25:AG25,FIND("-",C25:AG25)+1,10))-TIMEVALUE(LEFT(C25:AG25,FIND("-",C25:AG25)-1)))*24&gt;6, 0.75, 0)), 0))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シフト案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2026-06-03T05:39:04Z</dcterms:created>
  <dcterms:modified xsi:type="dcterms:W3CDTF">2026-06-03T05:39:04Z</dcterms:modified>
</cp:coreProperties>
</file>